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yotaasia-my.sharepoint.com/personal/pongsatorn_tem_toyota-asia_com/Documents/SF_STM_AMR/"/>
    </mc:Choice>
  </mc:AlternateContent>
  <xr:revisionPtr revIDLastSave="9" documentId="11_E60897F41BE170836B02CE998F75CCDC64E183C8" xr6:coauthVersionLast="47" xr6:coauthVersionMax="47" xr10:uidLastSave="{3E986FFC-55D5-4551-AD96-7AA8FB90B5B7}"/>
  <bookViews>
    <workbookView xWindow="-98" yWindow="-98" windowWidth="24196" windowHeight="14476" xr2:uid="{00000000-000D-0000-FFFF-FFFF00000000}"/>
  </bookViews>
  <sheets>
    <sheet name="Trigger_BNC" sheetId="3" r:id="rId1"/>
    <sheet name="Trigger_BOM" sheetId="4" r:id="rId2"/>
    <sheet name="HMI_BNC" sheetId="5" r:id="rId3"/>
    <sheet name="HMI_BOM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2" i="6" l="1"/>
  <c r="H31" i="6"/>
  <c r="H30" i="6"/>
  <c r="H33" i="6" s="1"/>
  <c r="H25" i="6"/>
  <c r="H24" i="6"/>
  <c r="H23" i="6"/>
  <c r="H22" i="6"/>
  <c r="H21" i="6"/>
  <c r="H15" i="6"/>
  <c r="H14" i="6"/>
  <c r="H13" i="6"/>
  <c r="H16" i="6" s="1"/>
  <c r="H7" i="6"/>
  <c r="H6" i="6"/>
  <c r="H5" i="6"/>
  <c r="H8" i="6" s="1"/>
  <c r="H17" i="4"/>
  <c r="H16" i="4"/>
  <c r="H15" i="4"/>
  <c r="H14" i="4"/>
  <c r="H18" i="4" s="1"/>
  <c r="H10" i="4"/>
  <c r="H9" i="4"/>
  <c r="H8" i="4"/>
  <c r="H7" i="4"/>
  <c r="H6" i="4"/>
</calcChain>
</file>

<file path=xl/sharedStrings.xml><?xml version="1.0" encoding="utf-8"?>
<sst xmlns="http://schemas.openxmlformats.org/spreadsheetml/2006/main" count="282" uniqueCount="176">
  <si>
    <t>BENCHMARK : อุปกรณ์สั่งงาน (Trigger) — HzBoY F21-2S vs Telecrane F21-2S</t>
  </si>
  <si>
    <t>หัวข้อเปรียบเทียบ</t>
  </si>
  <si>
    <t>HzBoY F21-2S</t>
  </si>
  <si>
    <t>Telecrane F21-2S</t>
  </si>
  <si>
    <t>หมายเหตุ</t>
  </si>
  <si>
    <t>ประเภท</t>
  </si>
  <si>
    <t>Industrial RC — clone</t>
  </si>
  <si>
    <t>Industrial RC — ของแท้ (ไต้หวัน)</t>
  </si>
  <si>
    <t>ราคา/ชุด (THB)</t>
  </si>
  <si>
    <t>จำนวนปุ่ม</t>
  </si>
  <si>
    <t>2 ปุ่ม</t>
  </si>
  <si>
    <t>ความถี่วิทยุ</t>
  </si>
  <si>
    <t xml:space="preserve">433 MHz </t>
  </si>
  <si>
    <t>ระยะสัญญาณ (โล่ง)</t>
  </si>
  <si>
    <t xml:space="preserve">100–300 ม. </t>
  </si>
  <si>
    <t>~100 ม.</t>
  </si>
  <si>
    <t>มาตรฐาน IP</t>
  </si>
  <si>
    <t xml:space="preserve">IP67 </t>
  </si>
  <si>
    <t>IP65 (certified)</t>
  </si>
  <si>
    <t>ขนาด TX (มม.)</t>
  </si>
  <si>
    <t>70 × 48 × 110</t>
  </si>
  <si>
    <t>130 × 45 × 22</t>
  </si>
  <si>
    <t>น้ำหนัก TX</t>
  </si>
  <si>
    <t>ไม่ระบุ</t>
  </si>
  <si>
    <t>~120 กรัม</t>
  </si>
  <si>
    <t>ไฟเลี้ยง TX</t>
  </si>
  <si>
    <t>AA 2 ก้อน</t>
  </si>
  <si>
    <t>ถ่านอยู่ได้</t>
  </si>
  <si>
    <t>~4 เดือน</t>
  </si>
  <si>
    <t>ไฟเลี้ยง RX</t>
  </si>
  <si>
    <t>DC 12–24V</t>
  </si>
  <si>
    <t>Output RX</t>
  </si>
  <si>
    <t>Dry contact relay</t>
  </si>
  <si>
    <t>Action กับคนขับ</t>
  </si>
  <si>
    <t>ไฟเขียวที่ TX แว็บเดียว</t>
  </si>
  <si>
    <t>เขียนโค้ดเพิ่ม</t>
  </si>
  <si>
    <t>ไม่ต้อง</t>
  </si>
  <si>
    <t>รหัสสัญญาณ</t>
  </si>
  <si>
    <t>ไม่ชัดเจน เสี่ยงชนถ้าหลายชุด</t>
  </si>
  <si>
    <t>4.3 พันล้านรหัส</t>
  </si>
  <si>
    <t>มีซอฟต์แวร์ตั้งค่า</t>
  </si>
  <si>
    <t>ไม่มี</t>
  </si>
  <si>
    <t>มี</t>
  </si>
  <si>
    <t>BOM : อุปกรณ์ Trigger — เปรียบเทียบรายการวัสดุ</t>
  </si>
  <si>
    <t>── Option A : HzBoY F21-2S ──</t>
  </si>
  <si>
    <t>No</t>
  </si>
  <si>
    <t>รายการ</t>
  </si>
  <si>
    <t>Part No. / รุ่น</t>
  </si>
  <si>
    <t>ผู้ผลิต/แหล่งซื้อ</t>
  </si>
  <si>
    <t>จำนวน</t>
  </si>
  <si>
    <t>หน่วย</t>
  </si>
  <si>
    <t>ราคาต่อหน่วย (THB)</t>
  </si>
  <si>
    <t>ราคารวม (THB)</t>
  </si>
  <si>
    <t>รีโมทคอนโทรลไร้สาย</t>
  </si>
  <si>
    <t>F21-2S DC12-24V</t>
  </si>
  <si>
    <t>ชุด</t>
  </si>
  <si>
    <t>ถ่าน AA (สำรอง)</t>
  </si>
  <si>
    <t>ถ่านอัลคาไลน์ AA</t>
  </si>
  <si>
    <t>ก้อน</t>
  </si>
  <si>
    <t>สายไฟ 0.5mm² ยาว 1m</t>
  </si>
  <si>
    <t>สาย THW 0.5mm²</t>
  </si>
  <si>
    <t>เส้น</t>
  </si>
  <si>
    <t>Connector 2 pin</t>
  </si>
  <si>
    <t>JST 2P หรือ Dupont</t>
  </si>
  <si>
    <t>รวม Option A</t>
  </si>
  <si>
    <t>── Option B : Telecrane F21-2S ──</t>
  </si>
  <si>
    <t>รีโมทคอนโทรลไร้สาย Telecrane</t>
  </si>
  <si>
    <t>F21-2S/D 12-24VDC</t>
  </si>
  <si>
    <t>รวม Option B</t>
  </si>
  <si>
    <t>BENCHMARK : อุปกรณ์เสียงเตือน (HMI) — เทียบ 4 ตัวเลือก</t>
  </si>
  <si>
    <t>Piezo Buzzer
(ทั่วไป)</t>
  </si>
  <si>
    <t>Schneider
XB5KS2B4</t>
  </si>
  <si>
    <t>Patlite
BSV-24N</t>
  </si>
  <si>
    <t>Qlight
S60ADH</t>
  </si>
  <si>
    <t>Piezo buzzer</t>
  </si>
  <si>
    <t>Buzzer+Beacon combo</t>
  </si>
  <si>
    <t>MP3 Voice Annunciator</t>
  </si>
  <si>
    <t>Wall-mount buzzer horn</t>
  </si>
  <si>
    <t>ราคา (THB)</t>
  </si>
  <si>
    <t>60–300</t>
  </si>
  <si>
    <t>~5,000</t>
  </si>
  <si>
    <t>~660</t>
  </si>
  <si>
    <t>ระดับเสียง</t>
  </si>
  <si>
    <t>85–95 dB @1m</t>
  </si>
  <si>
    <t>90 dB @1m</t>
  </si>
  <si>
    <t>87 dB @1m</t>
  </si>
  <si>
    <t>95 dB @1m</t>
  </si>
  <si>
    <t>ความถี่เสียง</t>
  </si>
  <si>
    <t>2–4 kHz (สูง)</t>
  </si>
  <si>
    <t>4 kHz + 6.8 kHz (สูง)</t>
  </si>
  <si>
    <t>1 kHz sine (กลาง-ต่ำ)</t>
  </si>
  <si>
    <t>หลายความถี่</t>
  </si>
  <si>
    <t>ได้ยินจริงในพื้นที่</t>
  </si>
  <si>
    <t>3–5 ม.</t>
  </si>
  <si>
    <t>3–5 ม. (ความถี่สูงเกิน)</t>
  </si>
  <si>
    <t>10–20 ม.</t>
  </si>
  <si>
    <t>10–15 ม.</t>
  </si>
  <si>
    <t>IP rating</t>
  </si>
  <si>
    <t>IP54</t>
  </si>
  <si>
    <t>IP66 / IP67 / IP69K</t>
  </si>
  <si>
    <t>ไฟเลี้ยง</t>
  </si>
  <si>
    <t>DC 6–24V</t>
  </si>
  <si>
    <t>DC/AC 24V</t>
  </si>
  <si>
    <t>DC 24V / AC 220V</t>
  </si>
  <si>
    <t>กินไฟ</t>
  </si>
  <si>
    <t>&lt;1W</t>
  </si>
  <si>
    <t>~2W</t>
  </si>
  <si>
    <t>3.5W (max)</t>
  </si>
  <si>
    <t>~5W</t>
  </si>
  <si>
    <t>ขนาด (มม.)</t>
  </si>
  <si>
    <t>Ø30–50 × 30</t>
  </si>
  <si>
    <t>≈ Ø40 × 70</t>
  </si>
  <si>
    <t>75 × 75 × 19.9</t>
  </si>
  <si>
    <t>ไม่ระบุในหน้าเว็บ</t>
  </si>
  <si>
    <t>เสียงหลายแบบ/สถานะ</t>
  </si>
  <si>
    <t>ไม่มี (เสียงเดียว)</t>
  </si>
  <si>
    <t>2 โทน (buzzer+beacon)</t>
  </si>
  <si>
    <t>15 เสียง + MP3 custom</t>
  </si>
  <si>
    <t>ต่อ Arduino Mega</t>
  </si>
  <si>
    <t>DO → transistor/relay</t>
  </si>
  <si>
    <t>DO → relay</t>
  </si>
  <si>
    <t>DO 4 ช่อง NPN โดยตรง</t>
  </si>
  <si>
    <t>มาตรฐาน/เอกสาร</t>
  </si>
  <si>
    <t>CE, IP66/67/69, IK08</t>
  </si>
  <si>
    <t>CE, IP54, RoHS</t>
  </si>
  <si>
    <t>หาซื้อในไทย</t>
  </si>
  <si>
    <t>ทั่วไป (Shopee/ร้านITEM)</t>
  </si>
  <si>
    <t>ตัวแทน</t>
  </si>
  <si>
    <t>qlightthailand.com</t>
  </si>
  <si>
    <t>เหมาะ scope นี้</t>
  </si>
  <si>
    <t>POC เท่านั้น</t>
  </si>
  <si>
    <t>รอยืนยัน dB จริง</t>
  </si>
  <si>
    <t>แนะนำ (ยืดหยุ่นสูงสุด)</t>
  </si>
  <si>
    <t>ราคาต่ำ ใช้งานง่าย</t>
  </si>
  <si>
    <t>BOM : อุปกรณ์เสียงเตือน (HMI) — รายการวัสดุ 4 ตัวเลือก</t>
  </si>
  <si>
    <t>── Option A : Piezo Buzzer — POC ──</t>
  </si>
  <si>
    <t>แหล่งซื้อในไทย</t>
  </si>
  <si>
    <t>Piezo buzzer 12V IP54</t>
  </si>
  <si>
    <t>KPI-G2312L หรือเทียบเท่า</t>
  </si>
  <si>
    <t>Shopee / ร้านอิเล็กทรอนิกส์</t>
  </si>
  <si>
    <t>85-90 dB ความถี่ 2-4 kHz</t>
  </si>
  <si>
    <t>สายไฟ 0.5mm² ยาว 0.5m</t>
  </si>
  <si>
    <t>THW 0.5mm²</t>
  </si>
  <si>
    <t>ร้านไฟฟ้า</t>
  </si>
  <si>
    <t>ต่อ DO Arduino → buzzer</t>
  </si>
  <si>
    <t>Resistor 1kΩ (กัน DO Arduino)</t>
  </si>
  <si>
    <t>1kΩ 1/4W</t>
  </si>
  <si>
    <t>ร้านอิเล็กทรอนิกส์</t>
  </si>
  <si>
    <t>ตัว</t>
  </si>
  <si>
    <t>กัน DO Arduino</t>
  </si>
  <si>
    <t>รวม</t>
  </si>
  <si>
    <t>── Option B : Schneider XB5KS2B4 — รอยืนยัน dB จริง ──</t>
  </si>
  <si>
    <t>XB5KS2B4</t>
  </si>
  <si>
    <t>RS Components TH / ตัวแทน Schneider</t>
  </si>
  <si>
    <t>IP66/67/69 24V 90dB เคลม — รอยืนยันจากร้าน</t>
  </si>
  <si>
    <t>Relay module 24V</t>
  </si>
  <si>
    <t>HF3FF-024-1ZS หรือเทียบเท่า</t>
  </si>
  <si>
    <t>Shopee</t>
  </si>
  <si>
    <t>ถ้า DO Arduino ไม่พอขับ</t>
  </si>
  <si>
    <t>── Option C : Patlite BSV-24N — แนะนำ Production ──</t>
  </si>
  <si>
    <t>BSV-24N-W</t>
  </si>
  <si>
    <t>MISUMI TH / monet.asia</t>
  </si>
  <si>
    <t>87dB 12-24VDC NPN input 4CH IP54</t>
  </si>
  <si>
    <t>MicroSD card</t>
  </si>
  <si>
    <t>MicroSD 1-4GB FAT32</t>
  </si>
  <si>
    <t>ร้านทั่วไป</t>
  </si>
  <si>
    <t>ชิ้น</t>
  </si>
  <si>
    <t>อัดเสียง MP3 chime/Thai voice</t>
  </si>
  <si>
    <t>ไฟเลี้ยง + DO จาก Arduino</t>
  </si>
  <si>
    <t>Connector 4 pin (DO)</t>
  </si>
  <si>
    <t>Molex/JST 4P</t>
  </si>
  <si>
    <t>ต่อ CH1-CH4</t>
  </si>
  <si>
    <t>── Option D : Qlight S60ADH — Pilot ประหยัด ──</t>
  </si>
  <si>
    <t>S60ADH-24</t>
  </si>
  <si>
    <t>95dB 24VDC IP54</t>
  </si>
  <si>
    <t>DO Arduino → relay → buzzer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</si>
</sst>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595959"/>
      <name val="Arial"/>
      <family val="2"/>
    </font>
    <font>
      <b/>
      <sz val="9"/>
      <color rgb="FFC0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charset val="1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10"/>
      <color rgb="FFC00000"/>
      <name val="Arial"/>
      <family val="2"/>
    </font>
    <font>
      <b/>
      <sz val="10"/>
      <color rgb="FF1F3864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0"/>
      <color rgb="FF375623"/>
      <name val="Arial"/>
      <family val="2"/>
    </font>
    <font>
      <b/>
      <sz val="10"/>
      <color rgb="FFE3620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3" fontId="5" fillId="0" borderId="1" xfId="1" applyNumberFormat="1" applyFont="1" applyBorder="1" applyAlignment="1">
      <alignment horizontal="left" vertical="top" wrapText="1"/>
    </xf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top" wrapText="1"/>
    </xf>
    <xf numFmtId="0" fontId="11" fillId="0" borderId="0" xfId="1" applyFont="1"/>
    <xf numFmtId="3" fontId="12" fillId="4" borderId="0" xfId="1" applyNumberFormat="1" applyFont="1" applyFill="1"/>
    <xf numFmtId="3" fontId="13" fillId="4" borderId="0" xfId="1" applyNumberFormat="1" applyFont="1" applyFill="1"/>
    <xf numFmtId="0" fontId="14" fillId="0" borderId="0" xfId="1" applyFont="1"/>
    <xf numFmtId="0" fontId="8" fillId="0" borderId="0" xfId="1" applyFont="1"/>
    <xf numFmtId="0" fontId="15" fillId="0" borderId="1" xfId="1" applyFont="1" applyBorder="1" applyAlignment="1">
      <alignment horizontal="center" vertical="top" wrapText="1"/>
    </xf>
    <xf numFmtId="0" fontId="15" fillId="0" borderId="1" xfId="1" applyFont="1" applyBorder="1" applyAlignment="1">
      <alignment horizontal="left" vertical="top" wrapText="1"/>
    </xf>
    <xf numFmtId="3" fontId="15" fillId="0" borderId="1" xfId="1" applyNumberFormat="1" applyFont="1" applyBorder="1" applyAlignment="1">
      <alignment horizontal="left" vertical="top" wrapText="1"/>
    </xf>
    <xf numFmtId="0" fontId="11" fillId="0" borderId="1" xfId="1" applyFont="1" applyBorder="1"/>
    <xf numFmtId="3" fontId="12" fillId="4" borderId="1" xfId="1" applyNumberFormat="1" applyFont="1" applyFill="1" applyBorder="1"/>
    <xf numFmtId="3" fontId="13" fillId="4" borderId="1" xfId="1" applyNumberFormat="1" applyFont="1" applyFill="1" applyBorder="1"/>
    <xf numFmtId="3" fontId="16" fillId="4" borderId="1" xfId="1" applyNumberFormat="1" applyFont="1" applyFill="1" applyBorder="1"/>
    <xf numFmtId="3" fontId="17" fillId="4" borderId="1" xfId="1" applyNumberFormat="1" applyFont="1" applyFill="1" applyBorder="1"/>
  </cellXfs>
  <cellStyles count="2">
    <cellStyle name="Normal" xfId="0" builtinId="0"/>
    <cellStyle name="Normal 2" xfId="1" xr:uid="{8395AB03-E806-4F95-A9B7-588062D4481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4DF3-11D3-42A8-A88C-CC1E47F24F85}">
  <dimension ref="A1:K21"/>
  <sheetViews>
    <sheetView tabSelected="1" zoomScaleNormal="100" workbookViewId="0">
      <pane ySplit="3" topLeftCell="A4" activePane="bottomLeft" state="frozen"/>
      <selection activeCell="B34" sqref="B34"/>
      <selection pane="bottomLeft" activeCell="A23" sqref="A23"/>
    </sheetView>
  </sheetViews>
  <sheetFormatPr defaultColWidth="8.6640625" defaultRowHeight="14.25" x14ac:dyDescent="0.45"/>
  <cols>
    <col min="1" max="1" width="28" style="2" customWidth="1"/>
    <col min="2" max="3" width="30" style="2" customWidth="1"/>
    <col min="4" max="4" width="36" style="2" customWidth="1"/>
    <col min="5" max="16384" width="8.6640625" style="2"/>
  </cols>
  <sheetData>
    <row r="1" spans="1:11" ht="16.899999999999999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36" customHeight="1" x14ac:dyDescent="0.45">
      <c r="A3" s="3" t="s">
        <v>1</v>
      </c>
      <c r="B3" s="3" t="s">
        <v>2</v>
      </c>
      <c r="C3" s="3" t="s">
        <v>3</v>
      </c>
      <c r="D3" s="3" t="s">
        <v>4</v>
      </c>
    </row>
    <row r="4" spans="1:11" x14ac:dyDescent="0.45">
      <c r="A4" s="4" t="s">
        <v>5</v>
      </c>
      <c r="B4" s="5" t="s">
        <v>6</v>
      </c>
      <c r="C4" s="5" t="s">
        <v>7</v>
      </c>
      <c r="D4" s="6"/>
    </row>
    <row r="5" spans="1:11" x14ac:dyDescent="0.45">
      <c r="A5" s="4" t="s">
        <v>8</v>
      </c>
      <c r="B5" s="7">
        <v>1600</v>
      </c>
      <c r="C5" s="7">
        <v>2490</v>
      </c>
      <c r="D5" s="6"/>
    </row>
    <row r="6" spans="1:11" x14ac:dyDescent="0.45">
      <c r="A6" s="4" t="s">
        <v>9</v>
      </c>
      <c r="B6" s="5" t="s">
        <v>10</v>
      </c>
      <c r="C6" s="5" t="s">
        <v>10</v>
      </c>
      <c r="D6" s="6"/>
    </row>
    <row r="7" spans="1:11" x14ac:dyDescent="0.45">
      <c r="A7" s="4" t="s">
        <v>11</v>
      </c>
      <c r="B7" s="5" t="s">
        <v>12</v>
      </c>
      <c r="C7" s="5" t="s">
        <v>12</v>
      </c>
      <c r="D7" s="6"/>
    </row>
    <row r="8" spans="1:11" x14ac:dyDescent="0.45">
      <c r="A8" s="4" t="s">
        <v>13</v>
      </c>
      <c r="B8" s="5" t="s">
        <v>14</v>
      </c>
      <c r="C8" s="5" t="s">
        <v>15</v>
      </c>
      <c r="D8" s="6"/>
    </row>
    <row r="9" spans="1:11" x14ac:dyDescent="0.45">
      <c r="A9" s="4" t="s">
        <v>16</v>
      </c>
      <c r="B9" s="5" t="s">
        <v>17</v>
      </c>
      <c r="C9" s="5" t="s">
        <v>18</v>
      </c>
      <c r="D9" s="6"/>
    </row>
    <row r="10" spans="1:11" x14ac:dyDescent="0.45">
      <c r="A10" s="4" t="s">
        <v>19</v>
      </c>
      <c r="B10" s="5" t="s">
        <v>20</v>
      </c>
      <c r="C10" s="5" t="s">
        <v>21</v>
      </c>
      <c r="D10" s="6"/>
    </row>
    <row r="11" spans="1:11" x14ac:dyDescent="0.45">
      <c r="A11" s="4" t="s">
        <v>22</v>
      </c>
      <c r="B11" s="5" t="s">
        <v>23</v>
      </c>
      <c r="C11" s="5" t="s">
        <v>24</v>
      </c>
      <c r="D11" s="6"/>
    </row>
    <row r="12" spans="1:11" x14ac:dyDescent="0.45">
      <c r="A12" s="4" t="s">
        <v>25</v>
      </c>
      <c r="B12" s="5" t="s">
        <v>26</v>
      </c>
      <c r="C12" s="5" t="s">
        <v>26</v>
      </c>
      <c r="D12" s="6"/>
    </row>
    <row r="13" spans="1:11" x14ac:dyDescent="0.45">
      <c r="A13" s="4" t="s">
        <v>27</v>
      </c>
      <c r="B13" s="5" t="s">
        <v>23</v>
      </c>
      <c r="C13" s="5" t="s">
        <v>28</v>
      </c>
      <c r="D13" s="6"/>
    </row>
    <row r="14" spans="1:11" x14ac:dyDescent="0.45">
      <c r="A14" s="4" t="s">
        <v>29</v>
      </c>
      <c r="B14" s="5" t="s">
        <v>30</v>
      </c>
      <c r="C14" s="5" t="s">
        <v>30</v>
      </c>
      <c r="D14" s="6"/>
    </row>
    <row r="15" spans="1:11" x14ac:dyDescent="0.45">
      <c r="A15" s="4" t="s">
        <v>31</v>
      </c>
      <c r="B15" s="5" t="s">
        <v>32</v>
      </c>
      <c r="C15" s="5" t="s">
        <v>32</v>
      </c>
      <c r="D15" s="6"/>
    </row>
    <row r="16" spans="1:11" x14ac:dyDescent="0.45">
      <c r="A16" s="4" t="s">
        <v>33</v>
      </c>
      <c r="B16" s="5" t="s">
        <v>34</v>
      </c>
      <c r="C16" s="5" t="s">
        <v>34</v>
      </c>
      <c r="D16" s="6"/>
    </row>
    <row r="17" spans="1:4" x14ac:dyDescent="0.45">
      <c r="A17" s="4" t="s">
        <v>35</v>
      </c>
      <c r="B17" s="5" t="s">
        <v>36</v>
      </c>
      <c r="C17" s="5" t="s">
        <v>36</v>
      </c>
      <c r="D17" s="6"/>
    </row>
    <row r="18" spans="1:4" x14ac:dyDescent="0.45">
      <c r="A18" s="4" t="s">
        <v>37</v>
      </c>
      <c r="B18" s="5" t="s">
        <v>38</v>
      </c>
      <c r="C18" s="5" t="s">
        <v>39</v>
      </c>
      <c r="D18" s="6"/>
    </row>
    <row r="19" spans="1:4" x14ac:dyDescent="0.45">
      <c r="A19" s="4" t="s">
        <v>40</v>
      </c>
      <c r="B19" s="5" t="s">
        <v>41</v>
      </c>
      <c r="C19" s="5" t="s">
        <v>42</v>
      </c>
      <c r="D19" s="6"/>
    </row>
    <row r="21" spans="1:4" x14ac:dyDescent="0.45">
      <c r="A21" s="8"/>
      <c r="B21" s="8"/>
      <c r="C21" s="8"/>
      <c r="D21" s="8"/>
    </row>
  </sheetData>
  <mergeCells count="2">
    <mergeCell ref="A1:K1"/>
    <mergeCell ref="A21:D21"/>
  </mergeCells>
  <pageMargins left="0.7" right="0.7" top="0.75" bottom="0.75" header="0.3" footer="0.511811023622047"/>
  <pageSetup paperSize="9" orientation="portrait" horizontalDpi="300" verticalDpi="300"/>
  <headerFooter>
    <oddHeader>&amp;L&amp;"Aptos"&amp;13&amp;K000000 •• PROTECTED&amp;1#_x000D_&amp;"Calibri"&amp;11&amp;K000000&amp;"Aptos,Regular"&amp;1  •• PROTECTED#_x005F_x000d_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4D15-C041-4747-B4FC-EF72C7173DAF}">
  <dimension ref="A1:J18"/>
  <sheetViews>
    <sheetView zoomScaleNormal="100" workbookViewId="0">
      <pane ySplit="4" topLeftCell="A5" activePane="bottomLeft" state="frozen"/>
      <selection activeCell="B34" sqref="B34"/>
      <selection pane="bottomLeft" activeCell="B34" sqref="B34"/>
    </sheetView>
  </sheetViews>
  <sheetFormatPr defaultColWidth="8.6640625" defaultRowHeight="14.25" x14ac:dyDescent="0.45"/>
  <cols>
    <col min="1" max="1" width="6" style="2" customWidth="1"/>
    <col min="2" max="2" width="32" style="2" customWidth="1"/>
    <col min="3" max="3" width="22" style="2" customWidth="1"/>
    <col min="4" max="4" width="30" style="2" customWidth="1"/>
    <col min="5" max="6" width="8" style="2" customWidth="1"/>
    <col min="7" max="7" width="18" style="2" customWidth="1"/>
    <col min="8" max="8" width="16" style="2" customWidth="1"/>
    <col min="9" max="9" width="32" style="2" customWidth="1"/>
    <col min="10" max="16384" width="8.6640625" style="2"/>
  </cols>
  <sheetData>
    <row r="1" spans="1:10" ht="16.899999999999999" x14ac:dyDescent="0.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45">
      <c r="A3" s="9" t="s">
        <v>44</v>
      </c>
      <c r="B3" s="10"/>
    </row>
    <row r="4" spans="1:10" x14ac:dyDescent="0.45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50</v>
      </c>
      <c r="G4" s="11" t="s">
        <v>51</v>
      </c>
      <c r="H4" s="11" t="s">
        <v>52</v>
      </c>
      <c r="I4" s="11" t="s">
        <v>4</v>
      </c>
    </row>
    <row r="6" spans="1:10" x14ac:dyDescent="0.45">
      <c r="A6" s="12">
        <v>1</v>
      </c>
      <c r="B6" s="5" t="s">
        <v>53</v>
      </c>
      <c r="C6" s="5" t="s">
        <v>54</v>
      </c>
      <c r="D6" s="5"/>
      <c r="E6" s="12">
        <v>1</v>
      </c>
      <c r="F6" s="12" t="s">
        <v>55</v>
      </c>
      <c r="G6" s="7">
        <v>1600</v>
      </c>
      <c r="H6" s="7">
        <f>G6*E6</f>
        <v>1600</v>
      </c>
      <c r="I6" s="5"/>
    </row>
    <row r="7" spans="1:10" x14ac:dyDescent="0.45">
      <c r="A7" s="12">
        <v>2</v>
      </c>
      <c r="B7" s="5" t="s">
        <v>56</v>
      </c>
      <c r="C7" s="5" t="s">
        <v>57</v>
      </c>
      <c r="D7" s="5"/>
      <c r="E7" s="12">
        <v>4</v>
      </c>
      <c r="F7" s="12" t="s">
        <v>58</v>
      </c>
      <c r="G7" s="7">
        <v>15</v>
      </c>
      <c r="H7" s="7">
        <f>G7*E7</f>
        <v>60</v>
      </c>
      <c r="I7" s="5"/>
    </row>
    <row r="8" spans="1:10" x14ac:dyDescent="0.45">
      <c r="A8" s="12">
        <v>3</v>
      </c>
      <c r="B8" s="5" t="s">
        <v>59</v>
      </c>
      <c r="C8" s="5" t="s">
        <v>60</v>
      </c>
      <c r="D8" s="5"/>
      <c r="E8" s="12">
        <v>2</v>
      </c>
      <c r="F8" s="12" t="s">
        <v>61</v>
      </c>
      <c r="G8" s="7">
        <v>20</v>
      </c>
      <c r="H8" s="7">
        <f>G8*E8</f>
        <v>40</v>
      </c>
      <c r="I8" s="5"/>
    </row>
    <row r="9" spans="1:10" x14ac:dyDescent="0.45">
      <c r="A9" s="12">
        <v>4</v>
      </c>
      <c r="B9" s="5" t="s">
        <v>62</v>
      </c>
      <c r="C9" s="5" t="s">
        <v>63</v>
      </c>
      <c r="D9" s="5"/>
      <c r="E9" s="12">
        <v>2</v>
      </c>
      <c r="F9" s="12" t="s">
        <v>55</v>
      </c>
      <c r="G9" s="7">
        <v>5</v>
      </c>
      <c r="H9" s="7">
        <f>G9*E9</f>
        <v>10</v>
      </c>
      <c r="I9" s="5"/>
    </row>
    <row r="10" spans="1:10" x14ac:dyDescent="0.45">
      <c r="G10" s="13" t="s">
        <v>64</v>
      </c>
      <c r="H10" s="14">
        <f>SUM(H6:H9)</f>
        <v>1710</v>
      </c>
    </row>
    <row r="12" spans="1:10" x14ac:dyDescent="0.45">
      <c r="A12" s="9" t="s">
        <v>65</v>
      </c>
      <c r="B12" s="10"/>
    </row>
    <row r="13" spans="1:10" x14ac:dyDescent="0.45">
      <c r="A13" s="11" t="s">
        <v>45</v>
      </c>
      <c r="B13" s="11" t="s">
        <v>46</v>
      </c>
      <c r="C13" s="11" t="s">
        <v>47</v>
      </c>
      <c r="D13" s="11" t="s">
        <v>48</v>
      </c>
      <c r="E13" s="11" t="s">
        <v>49</v>
      </c>
      <c r="F13" s="11" t="s">
        <v>50</v>
      </c>
      <c r="G13" s="11" t="s">
        <v>51</v>
      </c>
      <c r="H13" s="11" t="s">
        <v>52</v>
      </c>
      <c r="I13" s="11" t="s">
        <v>4</v>
      </c>
    </row>
    <row r="14" spans="1:10" x14ac:dyDescent="0.45">
      <c r="A14" s="12">
        <v>1</v>
      </c>
      <c r="B14" s="5" t="s">
        <v>66</v>
      </c>
      <c r="C14" s="5" t="s">
        <v>67</v>
      </c>
      <c r="D14" s="5"/>
      <c r="E14" s="12">
        <v>1</v>
      </c>
      <c r="F14" s="12" t="s">
        <v>55</v>
      </c>
      <c r="G14" s="7">
        <v>2490</v>
      </c>
      <c r="H14" s="7">
        <f>G14*E14</f>
        <v>2490</v>
      </c>
      <c r="I14" s="5"/>
    </row>
    <row r="15" spans="1:10" x14ac:dyDescent="0.45">
      <c r="A15" s="12">
        <v>2</v>
      </c>
      <c r="B15" s="5" t="s">
        <v>56</v>
      </c>
      <c r="C15" s="5" t="s">
        <v>57</v>
      </c>
      <c r="D15" s="5"/>
      <c r="E15" s="12">
        <v>4</v>
      </c>
      <c r="F15" s="12" t="s">
        <v>58</v>
      </c>
      <c r="G15" s="7">
        <v>15</v>
      </c>
      <c r="H15" s="7">
        <f>G15*E15</f>
        <v>60</v>
      </c>
      <c r="I15" s="5"/>
    </row>
    <row r="16" spans="1:10" x14ac:dyDescent="0.45">
      <c r="A16" s="12">
        <v>3</v>
      </c>
      <c r="B16" s="5" t="s">
        <v>59</v>
      </c>
      <c r="C16" s="5" t="s">
        <v>60</v>
      </c>
      <c r="D16" s="5"/>
      <c r="E16" s="12">
        <v>2</v>
      </c>
      <c r="F16" s="12" t="s">
        <v>61</v>
      </c>
      <c r="G16" s="7">
        <v>20</v>
      </c>
      <c r="H16" s="7">
        <f>G16*E16</f>
        <v>40</v>
      </c>
      <c r="I16" s="5"/>
    </row>
    <row r="17" spans="1:9" x14ac:dyDescent="0.45">
      <c r="A17" s="12">
        <v>4</v>
      </c>
      <c r="B17" s="5" t="s">
        <v>62</v>
      </c>
      <c r="C17" s="5" t="s">
        <v>63</v>
      </c>
      <c r="D17" s="5"/>
      <c r="E17" s="12">
        <v>2</v>
      </c>
      <c r="F17" s="12" t="s">
        <v>55</v>
      </c>
      <c r="G17" s="7">
        <v>5</v>
      </c>
      <c r="H17" s="7">
        <f>G17*E17</f>
        <v>10</v>
      </c>
      <c r="I17" s="5"/>
    </row>
    <row r="18" spans="1:9" x14ac:dyDescent="0.45">
      <c r="G18" s="13" t="s">
        <v>68</v>
      </c>
      <c r="H18" s="15">
        <f>SUM(H14:H17)</f>
        <v>2600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&amp;L&amp;"Aptos"&amp;13&amp;K000000 •• PROTECTED&amp;1#_x000D_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4949-967D-4A6F-8742-B7201AE6A319}">
  <dimension ref="A1:F18"/>
  <sheetViews>
    <sheetView zoomScaleNormal="100" workbookViewId="0">
      <pane ySplit="4" topLeftCell="A5" activePane="bottomLeft" state="frozen"/>
      <selection activeCell="B34" sqref="B34"/>
      <selection pane="bottomLeft" activeCell="B34" sqref="B34"/>
    </sheetView>
  </sheetViews>
  <sheetFormatPr defaultColWidth="8.6640625" defaultRowHeight="14.25" x14ac:dyDescent="0.45"/>
  <cols>
    <col min="1" max="1" width="28" style="2" customWidth="1"/>
    <col min="2" max="5" width="22" style="2" customWidth="1"/>
    <col min="6" max="6" width="19.9296875" style="2" customWidth="1"/>
    <col min="7" max="16384" width="8.6640625" style="2"/>
  </cols>
  <sheetData>
    <row r="1" spans="1:6" ht="16.899999999999999" x14ac:dyDescent="0.5">
      <c r="A1" s="1" t="s">
        <v>69</v>
      </c>
      <c r="B1" s="1"/>
      <c r="C1" s="1"/>
      <c r="D1" s="1"/>
      <c r="E1" s="1"/>
      <c r="F1" s="1"/>
    </row>
    <row r="2" spans="1:6" x14ac:dyDescent="0.45">
      <c r="A2" s="16"/>
      <c r="B2" s="16"/>
      <c r="C2" s="16"/>
      <c r="D2" s="16"/>
      <c r="E2" s="16"/>
      <c r="F2" s="16"/>
    </row>
    <row r="4" spans="1:6" ht="42" customHeight="1" x14ac:dyDescent="0.45">
      <c r="A4" s="11" t="s">
        <v>1</v>
      </c>
      <c r="B4" s="11" t="s">
        <v>70</v>
      </c>
      <c r="C4" s="11" t="s">
        <v>71</v>
      </c>
      <c r="D4" s="11" t="s">
        <v>72</v>
      </c>
      <c r="E4" s="11" t="s">
        <v>73</v>
      </c>
      <c r="F4" s="11" t="s">
        <v>4</v>
      </c>
    </row>
    <row r="5" spans="1:6" x14ac:dyDescent="0.45">
      <c r="A5" s="4" t="s">
        <v>5</v>
      </c>
      <c r="B5" s="5" t="s">
        <v>74</v>
      </c>
      <c r="C5" s="5" t="s">
        <v>75</v>
      </c>
      <c r="D5" s="5" t="s">
        <v>76</v>
      </c>
      <c r="E5" s="5" t="s">
        <v>77</v>
      </c>
      <c r="F5" s="6"/>
    </row>
    <row r="6" spans="1:6" x14ac:dyDescent="0.45">
      <c r="A6" s="4" t="s">
        <v>78</v>
      </c>
      <c r="B6" s="5" t="s">
        <v>79</v>
      </c>
      <c r="C6" s="7">
        <v>1100</v>
      </c>
      <c r="D6" s="5" t="s">
        <v>80</v>
      </c>
      <c r="E6" s="5" t="s">
        <v>81</v>
      </c>
      <c r="F6" s="6"/>
    </row>
    <row r="7" spans="1:6" x14ac:dyDescent="0.45">
      <c r="A7" s="4" t="s">
        <v>82</v>
      </c>
      <c r="B7" s="5" t="s">
        <v>83</v>
      </c>
      <c r="C7" s="5" t="s">
        <v>84</v>
      </c>
      <c r="D7" s="5" t="s">
        <v>85</v>
      </c>
      <c r="E7" s="5" t="s">
        <v>86</v>
      </c>
      <c r="F7" s="6"/>
    </row>
    <row r="8" spans="1:6" x14ac:dyDescent="0.45">
      <c r="A8" s="4" t="s">
        <v>87</v>
      </c>
      <c r="B8" s="5" t="s">
        <v>88</v>
      </c>
      <c r="C8" s="5" t="s">
        <v>89</v>
      </c>
      <c r="D8" s="5" t="s">
        <v>90</v>
      </c>
      <c r="E8" s="5" t="s">
        <v>91</v>
      </c>
      <c r="F8" s="6"/>
    </row>
    <row r="9" spans="1:6" x14ac:dyDescent="0.45">
      <c r="A9" s="4" t="s">
        <v>92</v>
      </c>
      <c r="B9" s="5" t="s">
        <v>93</v>
      </c>
      <c r="C9" s="5" t="s">
        <v>94</v>
      </c>
      <c r="D9" s="5" t="s">
        <v>95</v>
      </c>
      <c r="E9" s="5" t="s">
        <v>96</v>
      </c>
      <c r="F9" s="6"/>
    </row>
    <row r="10" spans="1:6" x14ac:dyDescent="0.45">
      <c r="A10" s="4" t="s">
        <v>97</v>
      </c>
      <c r="B10" s="5" t="s">
        <v>98</v>
      </c>
      <c r="C10" s="5" t="s">
        <v>99</v>
      </c>
      <c r="D10" s="5" t="s">
        <v>98</v>
      </c>
      <c r="E10" s="5" t="s">
        <v>98</v>
      </c>
      <c r="F10" s="6"/>
    </row>
    <row r="11" spans="1:6" x14ac:dyDescent="0.45">
      <c r="A11" s="4" t="s">
        <v>100</v>
      </c>
      <c r="B11" s="5" t="s">
        <v>101</v>
      </c>
      <c r="C11" s="5" t="s">
        <v>102</v>
      </c>
      <c r="D11" s="5" t="s">
        <v>30</v>
      </c>
      <c r="E11" s="5" t="s">
        <v>103</v>
      </c>
      <c r="F11" s="6"/>
    </row>
    <row r="12" spans="1:6" x14ac:dyDescent="0.45">
      <c r="A12" s="4" t="s">
        <v>104</v>
      </c>
      <c r="B12" s="5" t="s">
        <v>105</v>
      </c>
      <c r="C12" s="5" t="s">
        <v>106</v>
      </c>
      <c r="D12" s="5" t="s">
        <v>107</v>
      </c>
      <c r="E12" s="5" t="s">
        <v>108</v>
      </c>
      <c r="F12" s="6"/>
    </row>
    <row r="13" spans="1:6" x14ac:dyDescent="0.45">
      <c r="A13" s="4" t="s">
        <v>109</v>
      </c>
      <c r="B13" s="5" t="s">
        <v>110</v>
      </c>
      <c r="C13" s="5" t="s">
        <v>111</v>
      </c>
      <c r="D13" s="5" t="s">
        <v>112</v>
      </c>
      <c r="E13" s="5" t="s">
        <v>113</v>
      </c>
      <c r="F13" s="6"/>
    </row>
    <row r="14" spans="1:6" x14ac:dyDescent="0.45">
      <c r="A14" s="4" t="s">
        <v>114</v>
      </c>
      <c r="B14" s="5" t="s">
        <v>115</v>
      </c>
      <c r="C14" s="5" t="s">
        <v>116</v>
      </c>
      <c r="D14" s="5" t="s">
        <v>117</v>
      </c>
      <c r="E14" s="5" t="s">
        <v>115</v>
      </c>
      <c r="F14" s="6"/>
    </row>
    <row r="15" spans="1:6" x14ac:dyDescent="0.45">
      <c r="A15" s="4" t="s">
        <v>118</v>
      </c>
      <c r="B15" s="5" t="s">
        <v>119</v>
      </c>
      <c r="C15" s="5" t="s">
        <v>120</v>
      </c>
      <c r="D15" s="5" t="s">
        <v>121</v>
      </c>
      <c r="E15" s="5" t="s">
        <v>120</v>
      </c>
      <c r="F15" s="6"/>
    </row>
    <row r="16" spans="1:6" x14ac:dyDescent="0.45">
      <c r="A16" s="4" t="s">
        <v>122</v>
      </c>
      <c r="B16" s="5" t="s">
        <v>41</v>
      </c>
      <c r="C16" s="5" t="s">
        <v>123</v>
      </c>
      <c r="D16" s="5" t="s">
        <v>124</v>
      </c>
      <c r="E16" s="5" t="s">
        <v>124</v>
      </c>
      <c r="F16" s="6"/>
    </row>
    <row r="17" spans="1:6" x14ac:dyDescent="0.45">
      <c r="A17" s="4" t="s">
        <v>125</v>
      </c>
      <c r="B17" s="5" t="s">
        <v>126</v>
      </c>
      <c r="C17" s="5" t="s">
        <v>127</v>
      </c>
      <c r="D17" s="5" t="s">
        <v>127</v>
      </c>
      <c r="E17" s="5" t="s">
        <v>128</v>
      </c>
      <c r="F17" s="6"/>
    </row>
    <row r="18" spans="1:6" x14ac:dyDescent="0.45">
      <c r="A18" s="4" t="s">
        <v>129</v>
      </c>
      <c r="B18" s="5" t="s">
        <v>130</v>
      </c>
      <c r="C18" s="5" t="s">
        <v>131</v>
      </c>
      <c r="D18" s="5" t="s">
        <v>132</v>
      </c>
      <c r="E18" s="5" t="s">
        <v>133</v>
      </c>
      <c r="F18" s="6"/>
    </row>
  </sheetData>
  <mergeCells count="2">
    <mergeCell ref="A1:F1"/>
    <mergeCell ref="A2:F2"/>
  </mergeCells>
  <pageMargins left="0.7" right="0.7" top="0.75" bottom="0.75" header="0.3" footer="0.511811023622047"/>
  <pageSetup paperSize="9" orientation="portrait" horizontalDpi="300" verticalDpi="300"/>
  <headerFooter>
    <oddHeader>&amp;L&amp;"Aptos"&amp;13&amp;K000000 •• PROTECTED&amp;1#_x000D_&amp;"Calibri"&amp;11&amp;K000000&amp;"Aptos,Regular"&amp;1  •• PROTECTED#_x005F_x000d_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D2BF-C182-4916-AC32-92EA8EAAB6F1}">
  <dimension ref="A1:I33"/>
  <sheetViews>
    <sheetView zoomScaleNormal="100" workbookViewId="0">
      <pane ySplit="3" topLeftCell="A4" activePane="bottomLeft" state="frozen"/>
      <selection activeCell="B34" sqref="B34"/>
      <selection pane="bottomLeft" activeCell="B34" sqref="B34"/>
    </sheetView>
  </sheetViews>
  <sheetFormatPr defaultColWidth="8.6640625" defaultRowHeight="14.25" x14ac:dyDescent="0.45"/>
  <cols>
    <col min="1" max="1" width="6" style="2" customWidth="1"/>
    <col min="2" max="2" width="30" style="2" customWidth="1"/>
    <col min="3" max="3" width="24" style="2" customWidth="1"/>
    <col min="4" max="4" width="28" style="2" customWidth="1"/>
    <col min="5" max="6" width="8" style="2" customWidth="1"/>
    <col min="7" max="7" width="18" style="2" customWidth="1"/>
    <col min="8" max="8" width="16" style="2" customWidth="1"/>
    <col min="9" max="9" width="34" style="2" customWidth="1"/>
    <col min="10" max="16384" width="8.6640625" style="2"/>
  </cols>
  <sheetData>
    <row r="1" spans="1:9" ht="16.899999999999999" x14ac:dyDescent="0.5">
      <c r="A1" s="1" t="s">
        <v>134</v>
      </c>
      <c r="B1" s="1"/>
      <c r="C1" s="1"/>
      <c r="D1" s="1"/>
      <c r="E1" s="1"/>
      <c r="F1" s="1"/>
      <c r="G1" s="1"/>
      <c r="H1" s="1"/>
      <c r="I1" s="1"/>
    </row>
    <row r="3" spans="1:9" x14ac:dyDescent="0.45">
      <c r="A3" s="17" t="s">
        <v>135</v>
      </c>
      <c r="B3" s="17"/>
      <c r="C3" s="17"/>
      <c r="D3" s="17"/>
      <c r="E3" s="17"/>
      <c r="F3" s="17"/>
      <c r="G3" s="17"/>
      <c r="H3" s="17"/>
      <c r="I3" s="17"/>
    </row>
    <row r="4" spans="1:9" x14ac:dyDescent="0.45">
      <c r="A4" s="11" t="s">
        <v>45</v>
      </c>
      <c r="B4" s="11" t="s">
        <v>46</v>
      </c>
      <c r="C4" s="11" t="s">
        <v>47</v>
      </c>
      <c r="D4" s="11" t="s">
        <v>136</v>
      </c>
      <c r="E4" s="11" t="s">
        <v>49</v>
      </c>
      <c r="F4" s="11" t="s">
        <v>50</v>
      </c>
      <c r="G4" s="11" t="s">
        <v>51</v>
      </c>
      <c r="H4" s="11" t="s">
        <v>52</v>
      </c>
      <c r="I4" s="11" t="s">
        <v>4</v>
      </c>
    </row>
    <row r="5" spans="1:9" x14ac:dyDescent="0.45">
      <c r="A5" s="18">
        <v>1</v>
      </c>
      <c r="B5" s="19" t="s">
        <v>137</v>
      </c>
      <c r="C5" s="19" t="s">
        <v>138</v>
      </c>
      <c r="D5" s="19" t="s">
        <v>139</v>
      </c>
      <c r="E5" s="18">
        <v>1</v>
      </c>
      <c r="F5" s="18" t="s">
        <v>55</v>
      </c>
      <c r="G5" s="20">
        <v>150</v>
      </c>
      <c r="H5" s="20">
        <f>G5*E5</f>
        <v>150</v>
      </c>
      <c r="I5" s="19" t="s">
        <v>140</v>
      </c>
    </row>
    <row r="6" spans="1:9" x14ac:dyDescent="0.45">
      <c r="A6" s="18">
        <v>2</v>
      </c>
      <c r="B6" s="19" t="s">
        <v>141</v>
      </c>
      <c r="C6" s="19" t="s">
        <v>142</v>
      </c>
      <c r="D6" s="19" t="s">
        <v>143</v>
      </c>
      <c r="E6" s="18">
        <v>1</v>
      </c>
      <c r="F6" s="18" t="s">
        <v>61</v>
      </c>
      <c r="G6" s="20">
        <v>10</v>
      </c>
      <c r="H6" s="20">
        <f>G6*E6</f>
        <v>10</v>
      </c>
      <c r="I6" s="19" t="s">
        <v>144</v>
      </c>
    </row>
    <row r="7" spans="1:9" x14ac:dyDescent="0.45">
      <c r="A7" s="18">
        <v>3</v>
      </c>
      <c r="B7" s="19" t="s">
        <v>145</v>
      </c>
      <c r="C7" s="19" t="s">
        <v>146</v>
      </c>
      <c r="D7" s="19" t="s">
        <v>147</v>
      </c>
      <c r="E7" s="18">
        <v>1</v>
      </c>
      <c r="F7" s="18" t="s">
        <v>148</v>
      </c>
      <c r="G7" s="20">
        <v>1</v>
      </c>
      <c r="H7" s="20">
        <f>G7*E7</f>
        <v>1</v>
      </c>
      <c r="I7" s="19" t="s">
        <v>149</v>
      </c>
    </row>
    <row r="8" spans="1:9" x14ac:dyDescent="0.45">
      <c r="G8" s="21" t="s">
        <v>150</v>
      </c>
      <c r="H8" s="22">
        <f>SUM(H5:H7)</f>
        <v>161</v>
      </c>
    </row>
    <row r="11" spans="1:9" x14ac:dyDescent="0.45">
      <c r="A11" s="17" t="s">
        <v>151</v>
      </c>
      <c r="B11" s="17"/>
      <c r="C11" s="17"/>
      <c r="D11" s="17"/>
      <c r="E11" s="17"/>
      <c r="F11" s="17"/>
      <c r="G11" s="17"/>
      <c r="H11" s="17"/>
      <c r="I11" s="17"/>
    </row>
    <row r="12" spans="1:9" x14ac:dyDescent="0.45">
      <c r="A12" s="11" t="s">
        <v>45</v>
      </c>
      <c r="B12" s="11" t="s">
        <v>46</v>
      </c>
      <c r="C12" s="11" t="s">
        <v>47</v>
      </c>
      <c r="D12" s="11" t="s">
        <v>136</v>
      </c>
      <c r="E12" s="11" t="s">
        <v>49</v>
      </c>
      <c r="F12" s="11" t="s">
        <v>50</v>
      </c>
      <c r="G12" s="11" t="s">
        <v>51</v>
      </c>
      <c r="H12" s="11" t="s">
        <v>52</v>
      </c>
      <c r="I12" s="11" t="s">
        <v>4</v>
      </c>
    </row>
    <row r="13" spans="1:9" ht="23.25" x14ac:dyDescent="0.45">
      <c r="A13" s="18">
        <v>1</v>
      </c>
      <c r="B13" s="19" t="s">
        <v>75</v>
      </c>
      <c r="C13" s="19" t="s">
        <v>152</v>
      </c>
      <c r="D13" s="19" t="s">
        <v>153</v>
      </c>
      <c r="E13" s="18">
        <v>1</v>
      </c>
      <c r="F13" s="18" t="s">
        <v>55</v>
      </c>
      <c r="G13" s="20">
        <v>1500</v>
      </c>
      <c r="H13" s="20">
        <f>G13*E13</f>
        <v>1500</v>
      </c>
      <c r="I13" s="19" t="s">
        <v>154</v>
      </c>
    </row>
    <row r="14" spans="1:9" x14ac:dyDescent="0.45">
      <c r="A14" s="18">
        <v>2</v>
      </c>
      <c r="B14" s="19" t="s">
        <v>141</v>
      </c>
      <c r="C14" s="19" t="s">
        <v>142</v>
      </c>
      <c r="D14" s="19" t="s">
        <v>143</v>
      </c>
      <c r="E14" s="18">
        <v>1</v>
      </c>
      <c r="F14" s="18" t="s">
        <v>61</v>
      </c>
      <c r="G14" s="20">
        <v>10</v>
      </c>
      <c r="H14" s="20">
        <f>G14*E14</f>
        <v>10</v>
      </c>
      <c r="I14" s="19"/>
    </row>
    <row r="15" spans="1:9" x14ac:dyDescent="0.45">
      <c r="A15" s="18">
        <v>3</v>
      </c>
      <c r="B15" s="19" t="s">
        <v>155</v>
      </c>
      <c r="C15" s="19" t="s">
        <v>156</v>
      </c>
      <c r="D15" s="19" t="s">
        <v>157</v>
      </c>
      <c r="E15" s="18">
        <v>1</v>
      </c>
      <c r="F15" s="18" t="s">
        <v>148</v>
      </c>
      <c r="G15" s="20">
        <v>60</v>
      </c>
      <c r="H15" s="20">
        <f>G15*E15</f>
        <v>60</v>
      </c>
      <c r="I15" s="19" t="s">
        <v>158</v>
      </c>
    </row>
    <row r="16" spans="1:9" x14ac:dyDescent="0.45">
      <c r="G16" s="21" t="s">
        <v>150</v>
      </c>
      <c r="H16" s="23">
        <f>SUM(H13:H15)</f>
        <v>1570</v>
      </c>
    </row>
    <row r="19" spans="1:9" x14ac:dyDescent="0.45">
      <c r="A19" s="17" t="s">
        <v>159</v>
      </c>
      <c r="B19" s="17"/>
      <c r="C19" s="17"/>
      <c r="D19" s="17"/>
      <c r="E19" s="17"/>
      <c r="F19" s="17"/>
      <c r="G19" s="17"/>
      <c r="H19" s="17"/>
      <c r="I19" s="17"/>
    </row>
    <row r="20" spans="1:9" x14ac:dyDescent="0.45">
      <c r="A20" s="11" t="s">
        <v>45</v>
      </c>
      <c r="B20" s="11" t="s">
        <v>46</v>
      </c>
      <c r="C20" s="11" t="s">
        <v>47</v>
      </c>
      <c r="D20" s="11" t="s">
        <v>136</v>
      </c>
      <c r="E20" s="11" t="s">
        <v>49</v>
      </c>
      <c r="F20" s="11" t="s">
        <v>50</v>
      </c>
      <c r="G20" s="11" t="s">
        <v>51</v>
      </c>
      <c r="H20" s="11" t="s">
        <v>52</v>
      </c>
      <c r="I20" s="11" t="s">
        <v>4</v>
      </c>
    </row>
    <row r="21" spans="1:9" x14ac:dyDescent="0.45">
      <c r="A21" s="18">
        <v>1</v>
      </c>
      <c r="B21" s="19" t="s">
        <v>76</v>
      </c>
      <c r="C21" s="19" t="s">
        <v>160</v>
      </c>
      <c r="D21" s="19" t="s">
        <v>161</v>
      </c>
      <c r="E21" s="18">
        <v>1</v>
      </c>
      <c r="F21" s="18" t="s">
        <v>55</v>
      </c>
      <c r="G21" s="20">
        <v>5028</v>
      </c>
      <c r="H21" s="20">
        <f>G21*E21</f>
        <v>5028</v>
      </c>
      <c r="I21" s="19" t="s">
        <v>162</v>
      </c>
    </row>
    <row r="22" spans="1:9" x14ac:dyDescent="0.45">
      <c r="A22" s="18">
        <v>2</v>
      </c>
      <c r="B22" s="19" t="s">
        <v>163</v>
      </c>
      <c r="C22" s="19" t="s">
        <v>164</v>
      </c>
      <c r="D22" s="19" t="s">
        <v>165</v>
      </c>
      <c r="E22" s="18">
        <v>1</v>
      </c>
      <c r="F22" s="18" t="s">
        <v>166</v>
      </c>
      <c r="G22" s="20">
        <v>80</v>
      </c>
      <c r="H22" s="20">
        <f>G22*E22</f>
        <v>80</v>
      </c>
      <c r="I22" s="19" t="s">
        <v>167</v>
      </c>
    </row>
    <row r="23" spans="1:9" x14ac:dyDescent="0.45">
      <c r="A23" s="18">
        <v>3</v>
      </c>
      <c r="B23" s="19" t="s">
        <v>141</v>
      </c>
      <c r="C23" s="19" t="s">
        <v>142</v>
      </c>
      <c r="D23" s="19" t="s">
        <v>143</v>
      </c>
      <c r="E23" s="18">
        <v>2</v>
      </c>
      <c r="F23" s="18" t="s">
        <v>61</v>
      </c>
      <c r="G23" s="20">
        <v>10</v>
      </c>
      <c r="H23" s="20">
        <f>G23*E23</f>
        <v>20</v>
      </c>
      <c r="I23" s="19" t="s">
        <v>168</v>
      </c>
    </row>
    <row r="24" spans="1:9" x14ac:dyDescent="0.45">
      <c r="A24" s="18">
        <v>4</v>
      </c>
      <c r="B24" s="19" t="s">
        <v>169</v>
      </c>
      <c r="C24" s="19" t="s">
        <v>170</v>
      </c>
      <c r="D24" s="19" t="s">
        <v>147</v>
      </c>
      <c r="E24" s="18">
        <v>1</v>
      </c>
      <c r="F24" s="18" t="s">
        <v>55</v>
      </c>
      <c r="G24" s="20">
        <v>15</v>
      </c>
      <c r="H24" s="20">
        <f>G24*E24</f>
        <v>15</v>
      </c>
      <c r="I24" s="19" t="s">
        <v>171</v>
      </c>
    </row>
    <row r="25" spans="1:9" x14ac:dyDescent="0.45">
      <c r="G25" s="21" t="s">
        <v>150</v>
      </c>
      <c r="H25" s="24">
        <f>SUM(H21:H24)</f>
        <v>5143</v>
      </c>
    </row>
    <row r="28" spans="1:9" x14ac:dyDescent="0.45">
      <c r="A28" s="17" t="s">
        <v>172</v>
      </c>
      <c r="B28" s="17"/>
      <c r="C28" s="17"/>
      <c r="D28" s="17"/>
      <c r="E28" s="17"/>
      <c r="F28" s="17"/>
      <c r="G28" s="17"/>
      <c r="H28" s="17"/>
      <c r="I28" s="17"/>
    </row>
    <row r="29" spans="1:9" x14ac:dyDescent="0.45">
      <c r="A29" s="11" t="s">
        <v>45</v>
      </c>
      <c r="B29" s="11" t="s">
        <v>46</v>
      </c>
      <c r="C29" s="11" t="s">
        <v>47</v>
      </c>
      <c r="D29" s="11" t="s">
        <v>136</v>
      </c>
      <c r="E29" s="11" t="s">
        <v>49</v>
      </c>
      <c r="F29" s="11" t="s">
        <v>50</v>
      </c>
      <c r="G29" s="11" t="s">
        <v>51</v>
      </c>
      <c r="H29" s="11" t="s">
        <v>52</v>
      </c>
      <c r="I29" s="11" t="s">
        <v>4</v>
      </c>
    </row>
    <row r="30" spans="1:9" x14ac:dyDescent="0.45">
      <c r="A30" s="18">
        <v>1</v>
      </c>
      <c r="B30" s="19" t="s">
        <v>77</v>
      </c>
      <c r="C30" s="19" t="s">
        <v>173</v>
      </c>
      <c r="D30" s="19" t="s">
        <v>128</v>
      </c>
      <c r="E30" s="18">
        <v>1</v>
      </c>
      <c r="F30" s="18" t="s">
        <v>55</v>
      </c>
      <c r="G30" s="20">
        <v>660</v>
      </c>
      <c r="H30" s="20">
        <f>G30*E30</f>
        <v>660</v>
      </c>
      <c r="I30" s="19" t="s">
        <v>174</v>
      </c>
    </row>
    <row r="31" spans="1:9" x14ac:dyDescent="0.45">
      <c r="A31" s="18">
        <v>2</v>
      </c>
      <c r="B31" s="19" t="s">
        <v>155</v>
      </c>
      <c r="C31" s="19" t="s">
        <v>156</v>
      </c>
      <c r="D31" s="19" t="s">
        <v>157</v>
      </c>
      <c r="E31" s="18">
        <v>1</v>
      </c>
      <c r="F31" s="18" t="s">
        <v>148</v>
      </c>
      <c r="G31" s="20">
        <v>60</v>
      </c>
      <c r="H31" s="20">
        <f>G31*E31</f>
        <v>60</v>
      </c>
      <c r="I31" s="19" t="s">
        <v>175</v>
      </c>
    </row>
    <row r="32" spans="1:9" x14ac:dyDescent="0.45">
      <c r="A32" s="18">
        <v>3</v>
      </c>
      <c r="B32" s="19" t="s">
        <v>141</v>
      </c>
      <c r="C32" s="19" t="s">
        <v>142</v>
      </c>
      <c r="D32" s="19" t="s">
        <v>143</v>
      </c>
      <c r="E32" s="18">
        <v>1</v>
      </c>
      <c r="F32" s="18" t="s">
        <v>61</v>
      </c>
      <c r="G32" s="20">
        <v>10</v>
      </c>
      <c r="H32" s="20">
        <f>G32*E32</f>
        <v>10</v>
      </c>
      <c r="I32" s="19"/>
    </row>
    <row r="33" spans="7:8" x14ac:dyDescent="0.45">
      <c r="G33" s="21" t="s">
        <v>150</v>
      </c>
      <c r="H33" s="25">
        <f>SUM(H30:H32)</f>
        <v>730</v>
      </c>
    </row>
  </sheetData>
  <mergeCells count="5">
    <mergeCell ref="A1:I1"/>
    <mergeCell ref="A3:I3"/>
    <mergeCell ref="A11:I11"/>
    <mergeCell ref="A19:I19"/>
    <mergeCell ref="A28:I28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&amp;L&amp;"Aptos"&amp;13&amp;K000000 •• PROTECTED&amp;1#_x000D_</oddHeader>
  </headerFooter>
</worksheet>
</file>

<file path=docMetadata/LabelInfo.xml><?xml version="1.0" encoding="utf-8"?>
<clbl:labelList xmlns:clbl="http://schemas.microsoft.com/office/2020/mipLabelMetadata">
  <clbl:label id="{a280e33f-51f9-4eb7-bf6f-a0cb413b4c8b}" enabled="1" method="Standard" siteId="{d9cd485e-39bd-4cc9-9539-8c97631fbb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Trigger_BNC</vt:lpstr>
      <vt:lpstr>Trigger_BOM</vt:lpstr>
      <vt:lpstr>HMI_BNC</vt:lpstr>
      <vt:lpstr>HMI_BOM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Pongsatorn Termtachatipongsa (TMA)</cp:lastModifiedBy>
  <cp:revision/>
  <dcterms:created xsi:type="dcterms:W3CDTF">2026-07-31T02:44:55Z</dcterms:created>
  <dcterms:modified xsi:type="dcterms:W3CDTF">2026-07-31T09:48:32Z</dcterms:modified>
  <cp:category/>
  <cp:contentStatus/>
</cp:coreProperties>
</file>